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3\Grupos EVA Final\"/>
    </mc:Choice>
  </mc:AlternateContent>
  <xr:revisionPtr revIDLastSave="0" documentId="8_{D30CD501-3819-45B0-9AD0-521F40F6430B}" xr6:coauthVersionLast="47" xr6:coauthVersionMax="47" xr10:uidLastSave="{00000000-0000-0000-0000-000000000000}"/>
  <bookViews>
    <workbookView xWindow="-108" yWindow="-108" windowWidth="23256" windowHeight="12576" xr2:uid="{35252FEF-3C20-45D5-9FCA-C990FEC60C6C}"/>
  </bookViews>
  <sheets>
    <sheet name="EVALUACION FASE 3 (2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  <c r="K84" i="1" s="1"/>
  <c r="H84" i="1"/>
  <c r="I84" i="1" s="1"/>
  <c r="F84" i="1"/>
  <c r="G84" i="1" s="1"/>
  <c r="D84" i="1"/>
  <c r="E84" i="1" s="1"/>
  <c r="B84" i="1"/>
  <c r="K83" i="1"/>
  <c r="J83" i="1"/>
  <c r="H83" i="1"/>
  <c r="I83" i="1" s="1"/>
  <c r="G83" i="1"/>
  <c r="F83" i="1"/>
  <c r="E83" i="1"/>
  <c r="D83" i="1"/>
  <c r="B83" i="1"/>
  <c r="K82" i="1"/>
  <c r="J82" i="1"/>
  <c r="I82" i="1"/>
  <c r="H82" i="1"/>
  <c r="F82" i="1"/>
  <c r="G82" i="1" s="1"/>
  <c r="D82" i="1"/>
  <c r="E82" i="1" s="1"/>
  <c r="B82" i="1"/>
  <c r="J81" i="1"/>
  <c r="K81" i="1" s="1"/>
  <c r="I81" i="1"/>
  <c r="H81" i="1"/>
  <c r="G81" i="1"/>
  <c r="F81" i="1"/>
  <c r="E81" i="1"/>
  <c r="D81" i="1"/>
  <c r="B81" i="1"/>
  <c r="K80" i="1"/>
  <c r="J80" i="1"/>
  <c r="H80" i="1"/>
  <c r="I80" i="1" s="1"/>
  <c r="F80" i="1"/>
  <c r="G80" i="1" s="1"/>
  <c r="E80" i="1"/>
  <c r="D80" i="1"/>
  <c r="B80" i="1"/>
  <c r="K79" i="1"/>
  <c r="J79" i="1"/>
  <c r="I79" i="1"/>
  <c r="H79" i="1"/>
  <c r="G79" i="1"/>
  <c r="F79" i="1"/>
  <c r="D79" i="1"/>
  <c r="E79" i="1" s="1"/>
  <c r="B79" i="1"/>
  <c r="J78" i="1"/>
  <c r="K78" i="1" s="1"/>
  <c r="H78" i="1"/>
  <c r="I78" i="1" s="1"/>
  <c r="G78" i="1"/>
  <c r="F78" i="1"/>
  <c r="E78" i="1"/>
  <c r="E85" i="1" s="1"/>
  <c r="D78" i="1"/>
  <c r="B78" i="1"/>
  <c r="B76" i="1"/>
  <c r="J71" i="1"/>
  <c r="K71" i="1" s="1"/>
  <c r="H71" i="1"/>
  <c r="I71" i="1" s="1"/>
  <c r="G71" i="1"/>
  <c r="F71" i="1"/>
  <c r="D71" i="1"/>
  <c r="E71" i="1" s="1"/>
  <c r="B71" i="1"/>
  <c r="K70" i="1"/>
  <c r="J70" i="1"/>
  <c r="I70" i="1"/>
  <c r="H70" i="1"/>
  <c r="F70" i="1"/>
  <c r="G70" i="1" s="1"/>
  <c r="E70" i="1"/>
  <c r="D70" i="1"/>
  <c r="B70" i="1"/>
  <c r="J69" i="1"/>
  <c r="K69" i="1" s="1"/>
  <c r="I69" i="1"/>
  <c r="H69" i="1"/>
  <c r="F69" i="1"/>
  <c r="G69" i="1" s="1"/>
  <c r="D69" i="1"/>
  <c r="E69" i="1" s="1"/>
  <c r="B69" i="1"/>
  <c r="K68" i="1"/>
  <c r="J68" i="1"/>
  <c r="H68" i="1"/>
  <c r="I68" i="1" s="1"/>
  <c r="G68" i="1"/>
  <c r="F68" i="1"/>
  <c r="E68" i="1"/>
  <c r="D68" i="1"/>
  <c r="B68" i="1"/>
  <c r="K67" i="1"/>
  <c r="J67" i="1"/>
  <c r="H67" i="1"/>
  <c r="I67" i="1" s="1"/>
  <c r="F67" i="1"/>
  <c r="G67" i="1" s="1"/>
  <c r="D67" i="1"/>
  <c r="E67" i="1" s="1"/>
  <c r="B67" i="1"/>
  <c r="J66" i="1"/>
  <c r="K66" i="1" s="1"/>
  <c r="I66" i="1"/>
  <c r="H66" i="1"/>
  <c r="G66" i="1"/>
  <c r="F66" i="1"/>
  <c r="E66" i="1"/>
  <c r="D66" i="1"/>
  <c r="B66" i="1"/>
  <c r="J65" i="1"/>
  <c r="K65" i="1" s="1"/>
  <c r="H65" i="1"/>
  <c r="I65" i="1" s="1"/>
  <c r="F65" i="1"/>
  <c r="G65" i="1" s="1"/>
  <c r="G72" i="1" s="1"/>
  <c r="E65" i="1"/>
  <c r="D65" i="1"/>
  <c r="B65" i="1"/>
  <c r="B63" i="1"/>
  <c r="J58" i="1"/>
  <c r="K58" i="1" s="1"/>
  <c r="H58" i="1"/>
  <c r="I58" i="1" s="1"/>
  <c r="F58" i="1"/>
  <c r="G58" i="1" s="1"/>
  <c r="D58" i="1"/>
  <c r="E58" i="1" s="1"/>
  <c r="B58" i="1"/>
  <c r="K57" i="1"/>
  <c r="J57" i="1"/>
  <c r="I57" i="1"/>
  <c r="H57" i="1"/>
  <c r="G57" i="1"/>
  <c r="F57" i="1"/>
  <c r="D57" i="1"/>
  <c r="E57" i="1" s="1"/>
  <c r="B57" i="1"/>
  <c r="J56" i="1"/>
  <c r="K56" i="1" s="1"/>
  <c r="H56" i="1"/>
  <c r="I56" i="1" s="1"/>
  <c r="F56" i="1"/>
  <c r="G56" i="1" s="1"/>
  <c r="D56" i="1"/>
  <c r="E56" i="1" s="1"/>
  <c r="B56" i="1"/>
  <c r="K55" i="1"/>
  <c r="J55" i="1"/>
  <c r="I55" i="1"/>
  <c r="H55" i="1"/>
  <c r="F55" i="1"/>
  <c r="G55" i="1" s="1"/>
  <c r="E55" i="1"/>
  <c r="D55" i="1"/>
  <c r="B55" i="1"/>
  <c r="J54" i="1"/>
  <c r="K54" i="1" s="1"/>
  <c r="H54" i="1"/>
  <c r="I54" i="1" s="1"/>
  <c r="F54" i="1"/>
  <c r="G54" i="1" s="1"/>
  <c r="D54" i="1"/>
  <c r="E54" i="1" s="1"/>
  <c r="B54" i="1"/>
  <c r="K53" i="1"/>
  <c r="J53" i="1"/>
  <c r="H53" i="1"/>
  <c r="I53" i="1" s="1"/>
  <c r="G53" i="1"/>
  <c r="F53" i="1"/>
  <c r="E53" i="1"/>
  <c r="D53" i="1"/>
  <c r="B53" i="1"/>
  <c r="J52" i="1"/>
  <c r="K52" i="1" s="1"/>
  <c r="H52" i="1"/>
  <c r="I52" i="1" s="1"/>
  <c r="F52" i="1"/>
  <c r="G52" i="1" s="1"/>
  <c r="D52" i="1"/>
  <c r="E52" i="1" s="1"/>
  <c r="B52" i="1"/>
  <c r="B50" i="1"/>
  <c r="J45" i="1"/>
  <c r="K45" i="1" s="1"/>
  <c r="H45" i="1"/>
  <c r="I45" i="1" s="1"/>
  <c r="F45" i="1"/>
  <c r="G45" i="1" s="1"/>
  <c r="D45" i="1"/>
  <c r="E45" i="1" s="1"/>
  <c r="B45" i="1"/>
  <c r="K44" i="1"/>
  <c r="J44" i="1"/>
  <c r="I44" i="1"/>
  <c r="H44" i="1"/>
  <c r="G44" i="1"/>
  <c r="F44" i="1"/>
  <c r="E44" i="1"/>
  <c r="D44" i="1"/>
  <c r="B44" i="1"/>
  <c r="J43" i="1"/>
  <c r="K43" i="1" s="1"/>
  <c r="H43" i="1"/>
  <c r="I43" i="1" s="1"/>
  <c r="F43" i="1"/>
  <c r="G43" i="1" s="1"/>
  <c r="D43" i="1"/>
  <c r="E43" i="1" s="1"/>
  <c r="B43" i="1"/>
  <c r="K42" i="1"/>
  <c r="J42" i="1"/>
  <c r="I42" i="1"/>
  <c r="H42" i="1"/>
  <c r="G42" i="1"/>
  <c r="F42" i="1"/>
  <c r="E42" i="1"/>
  <c r="D42" i="1"/>
  <c r="B42" i="1"/>
  <c r="J41" i="1"/>
  <c r="K41" i="1" s="1"/>
  <c r="H41" i="1"/>
  <c r="I41" i="1" s="1"/>
  <c r="F41" i="1"/>
  <c r="G41" i="1" s="1"/>
  <c r="D41" i="1"/>
  <c r="E41" i="1" s="1"/>
  <c r="B41" i="1"/>
  <c r="K40" i="1"/>
  <c r="J40" i="1"/>
  <c r="I40" i="1"/>
  <c r="H40" i="1"/>
  <c r="G40" i="1"/>
  <c r="F40" i="1"/>
  <c r="E40" i="1"/>
  <c r="D40" i="1"/>
  <c r="B40" i="1"/>
  <c r="J39" i="1"/>
  <c r="K39" i="1" s="1"/>
  <c r="H39" i="1"/>
  <c r="I39" i="1" s="1"/>
  <c r="I46" i="1" s="1"/>
  <c r="F39" i="1"/>
  <c r="G39" i="1" s="1"/>
  <c r="D39" i="1"/>
  <c r="E39" i="1" s="1"/>
  <c r="B39" i="1"/>
  <c r="B37" i="1"/>
  <c r="J32" i="1"/>
  <c r="K32" i="1" s="1"/>
  <c r="H32" i="1"/>
  <c r="I32" i="1" s="1"/>
  <c r="F32" i="1"/>
  <c r="G32" i="1" s="1"/>
  <c r="D32" i="1"/>
  <c r="E32" i="1" s="1"/>
  <c r="B32" i="1"/>
  <c r="K31" i="1"/>
  <c r="J31" i="1"/>
  <c r="I31" i="1"/>
  <c r="H31" i="1"/>
  <c r="G31" i="1"/>
  <c r="F31" i="1"/>
  <c r="E31" i="1"/>
  <c r="D31" i="1"/>
  <c r="B31" i="1"/>
  <c r="J30" i="1"/>
  <c r="K30" i="1" s="1"/>
  <c r="H30" i="1"/>
  <c r="I30" i="1" s="1"/>
  <c r="F30" i="1"/>
  <c r="G30" i="1" s="1"/>
  <c r="D30" i="1"/>
  <c r="E30" i="1" s="1"/>
  <c r="B30" i="1"/>
  <c r="K29" i="1"/>
  <c r="J29" i="1"/>
  <c r="I29" i="1"/>
  <c r="H29" i="1"/>
  <c r="G29" i="1"/>
  <c r="F29" i="1"/>
  <c r="E29" i="1"/>
  <c r="D29" i="1"/>
  <c r="B29" i="1"/>
  <c r="J28" i="1"/>
  <c r="K28" i="1" s="1"/>
  <c r="H28" i="1"/>
  <c r="I28" i="1" s="1"/>
  <c r="F28" i="1"/>
  <c r="G28" i="1" s="1"/>
  <c r="D28" i="1"/>
  <c r="E28" i="1" s="1"/>
  <c r="B28" i="1"/>
  <c r="K27" i="1"/>
  <c r="J27" i="1"/>
  <c r="I27" i="1"/>
  <c r="H27" i="1"/>
  <c r="G27" i="1"/>
  <c r="F27" i="1"/>
  <c r="E27" i="1"/>
  <c r="D27" i="1"/>
  <c r="B27" i="1"/>
  <c r="J26" i="1"/>
  <c r="K26" i="1" s="1"/>
  <c r="H26" i="1"/>
  <c r="I26" i="1" s="1"/>
  <c r="I33" i="1" s="1"/>
  <c r="F26" i="1"/>
  <c r="G26" i="1" s="1"/>
  <c r="D26" i="1"/>
  <c r="E26" i="1" s="1"/>
  <c r="B26" i="1"/>
  <c r="B24" i="1"/>
  <c r="J19" i="1"/>
  <c r="K19" i="1" s="1"/>
  <c r="H19" i="1"/>
  <c r="I19" i="1" s="1"/>
  <c r="F19" i="1"/>
  <c r="G19" i="1" s="1"/>
  <c r="D19" i="1"/>
  <c r="E19" i="1" s="1"/>
  <c r="B19" i="1"/>
  <c r="K18" i="1"/>
  <c r="J18" i="1"/>
  <c r="I18" i="1"/>
  <c r="H18" i="1"/>
  <c r="G18" i="1"/>
  <c r="F18" i="1"/>
  <c r="E18" i="1"/>
  <c r="D18" i="1"/>
  <c r="B18" i="1"/>
  <c r="J17" i="1"/>
  <c r="K17" i="1" s="1"/>
  <c r="H17" i="1"/>
  <c r="I17" i="1" s="1"/>
  <c r="F17" i="1"/>
  <c r="G17" i="1" s="1"/>
  <c r="D17" i="1"/>
  <c r="E17" i="1" s="1"/>
  <c r="B17" i="1"/>
  <c r="K16" i="1"/>
  <c r="J16" i="1"/>
  <c r="I16" i="1"/>
  <c r="H16" i="1"/>
  <c r="G16" i="1"/>
  <c r="F16" i="1"/>
  <c r="E16" i="1"/>
  <c r="D16" i="1"/>
  <c r="B16" i="1"/>
  <c r="J15" i="1"/>
  <c r="K15" i="1" s="1"/>
  <c r="H15" i="1"/>
  <c r="I15" i="1" s="1"/>
  <c r="F15" i="1"/>
  <c r="G15" i="1" s="1"/>
  <c r="D15" i="1"/>
  <c r="E15" i="1" s="1"/>
  <c r="B15" i="1"/>
  <c r="K14" i="1"/>
  <c r="J14" i="1"/>
  <c r="I14" i="1"/>
  <c r="H14" i="1"/>
  <c r="G14" i="1"/>
  <c r="F14" i="1"/>
  <c r="E14" i="1"/>
  <c r="D14" i="1"/>
  <c r="B14" i="1"/>
  <c r="J13" i="1"/>
  <c r="K13" i="1" s="1"/>
  <c r="H13" i="1"/>
  <c r="I13" i="1" s="1"/>
  <c r="I20" i="1" s="1"/>
  <c r="F13" i="1"/>
  <c r="G13" i="1" s="1"/>
  <c r="D13" i="1"/>
  <c r="E13" i="1" s="1"/>
  <c r="B13" i="1"/>
  <c r="B11" i="1"/>
  <c r="C85" i="1" l="1"/>
  <c r="C86" i="1" s="1"/>
  <c r="E20" i="1"/>
  <c r="E33" i="1"/>
  <c r="E46" i="1"/>
  <c r="E59" i="1"/>
  <c r="I72" i="1"/>
  <c r="G20" i="1"/>
  <c r="G33" i="1"/>
  <c r="G46" i="1"/>
  <c r="G59" i="1"/>
  <c r="K72" i="1"/>
  <c r="G85" i="1"/>
  <c r="I59" i="1"/>
  <c r="I85" i="1"/>
  <c r="K20" i="1"/>
  <c r="K33" i="1"/>
  <c r="K46" i="1"/>
  <c r="K59" i="1"/>
  <c r="K85" i="1"/>
  <c r="E72" i="1"/>
  <c r="C59" i="1" l="1"/>
  <c r="C60" i="1" s="1"/>
  <c r="C72" i="1"/>
  <c r="C73" i="1" s="1"/>
  <c r="C46" i="1"/>
  <c r="C47" i="1" s="1"/>
  <c r="C6" i="1" s="1"/>
  <c r="E6" i="1" s="1"/>
  <c r="C33" i="1"/>
  <c r="C34" i="1" s="1"/>
  <c r="C5" i="1" s="1"/>
  <c r="E5" i="1" s="1"/>
  <c r="C20" i="1"/>
  <c r="C21" i="1" s="1"/>
  <c r="C4" i="1" s="1"/>
  <c r="E4" i="1" s="1"/>
</calcChain>
</file>

<file path=xl/sharedStrings.xml><?xml version="1.0" encoding="utf-8"?>
<sst xmlns="http://schemas.openxmlformats.org/spreadsheetml/2006/main" count="109" uniqueCount="21">
  <si>
    <t>INTEGRANTES</t>
  </si>
  <si>
    <t>Nota docente asignatura</t>
  </si>
  <si>
    <t>Nota comision</t>
  </si>
  <si>
    <t>Nota final</t>
  </si>
  <si>
    <t>GONZALEZ REYES ELIAS JOAQUIN</t>
  </si>
  <si>
    <t>CAAMANO BARRERA JOSE LUIS</t>
  </si>
  <si>
    <t>CAAMANO BARRERA ESTEBAN ALEJANDRO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</si>
  <si>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</si>
  <si>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</si>
  <si>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</si>
  <si>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</si>
  <si>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</si>
  <si>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</si>
  <si>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</si>
  <si>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</si>
  <si>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Logro incipiente</t>
  </si>
  <si>
    <t>Puntaje</t>
  </si>
  <si>
    <t>Nota</t>
  </si>
  <si>
    <t>COMISION 1</t>
  </si>
  <si>
    <t>COMISION 2</t>
  </si>
  <si>
    <t>COMISION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</si>
</sst>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textRotation="255"/>
    </xf>
    <xf numFmtId="0" fontId="4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6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0" fillId="7" borderId="4" xfId="0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4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3\PLANILLA%20DE%20EVALUACI&#211;N%20FASE%203%20-%20PRESENTACION%20FINAL.xlsx" TargetMode="External"/><Relationship Id="rId1" Type="http://schemas.openxmlformats.org/officeDocument/2006/relationships/externalLinkPath" Target="/Documents/2025/0%202do%20Sem/Capstone/Fase3/PLANILLA%20DE%20EVALUACI&#211;N%20FASE%203%20-%20PRESENTACIO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 FASE 3"/>
      <sheetName val="EVALUACION FASE 3 (9)"/>
      <sheetName val="EVALUACION FASE 3 (1)"/>
      <sheetName val="EVALUACION FASE 3 (2)"/>
      <sheetName val="EVALUACION FASE 3 (3)"/>
      <sheetName val="EVALUACION FASE 3 (4)"/>
      <sheetName val="EVALUACION FASE 3 (5)"/>
      <sheetName val="EVALUACION FASE 3 (6)"/>
      <sheetName val="EVALUACION FASE 3 (7)"/>
      <sheetName val="EVALUACION FASE 3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 xml:space="preserve">1. Presenta el proyecto considerando la relevancia, objetivos, metodología y desarrollo, de acuerdo a los estándares de calidad de la disciplina. </v>
          </cell>
        </row>
        <row r="5">
          <cell r="A5" t="str">
            <v xml:space="preserve">2. Presenta las evidencias del Proyecto APT, dando cuenta del cumplimiento de los objetivos y de acuerdo a los estándares de la disciplina. </v>
          </cell>
        </row>
        <row r="6">
          <cell r="A6" t="str">
            <v>3. Responde las preguntas realizadas por la comisión, cumpliendo con los estándares de calidad de la disciplina.</v>
          </cell>
        </row>
        <row r="7">
          <cell r="A7" t="str">
            <v>4. Expone el Proyecto APT, considerando el formato y el tiempo establecido para la presentación.</v>
          </cell>
        </row>
        <row r="8">
          <cell r="A8" t="str">
            <v>5. Expresa sus ideas con fluidez, claridad y precisión, utilizando lenguaje técnico propio de la disciplina.</v>
          </cell>
        </row>
        <row r="9">
          <cell r="A9" t="str">
            <v>6. Entrega la documentación y evidencias requerida por la asignatura de acuerdo a la estructura y nombres solicitados, guardando todas las evidencias de avances en Git</v>
          </cell>
        </row>
        <row r="10">
          <cell r="A10" t="str">
            <v xml:space="preserve">7. Expone el tema utilizando un lenguaje técnico disciplinar al presentar la propuesta y responde evidenciando un manejo de la información. 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2"/>
      <sheetData sheetId="13"/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032D-13FD-44A5-9900-3863F5ED68C8}">
  <dimension ref="A2:K797"/>
  <sheetViews>
    <sheetView tabSelected="1" topLeftCell="B3" zoomScale="145" zoomScaleNormal="145" workbookViewId="0">
      <selection activeCell="E4" sqref="E4:E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</v>
      </c>
      <c r="D2" s="2">
        <v>0.3</v>
      </c>
      <c r="E2" s="3">
        <v>1</v>
      </c>
    </row>
    <row r="3" spans="1:11" ht="14.4" x14ac:dyDescent="0.3">
      <c r="B3" s="4" t="s">
        <v>0</v>
      </c>
      <c r="C3" s="5" t="s">
        <v>1</v>
      </c>
      <c r="D3" s="6" t="s">
        <v>2</v>
      </c>
      <c r="E3" s="7" t="s">
        <v>3</v>
      </c>
    </row>
    <row r="4" spans="1:11" ht="14.4" x14ac:dyDescent="0.3">
      <c r="A4" s="8">
        <v>1</v>
      </c>
      <c r="B4" s="9" t="s">
        <v>4</v>
      </c>
      <c r="C4" s="10">
        <f>C21</f>
        <v>5.8</v>
      </c>
      <c r="D4" s="11">
        <v>5.8</v>
      </c>
      <c r="E4" s="12">
        <f>C4*C$2+D4*D$2</f>
        <v>5.8</v>
      </c>
    </row>
    <row r="5" spans="1:11" ht="14.4" x14ac:dyDescent="0.3">
      <c r="A5" s="8">
        <v>2</v>
      </c>
      <c r="B5" s="9" t="s">
        <v>5</v>
      </c>
      <c r="C5" s="10">
        <f>C34</f>
        <v>6.1</v>
      </c>
      <c r="D5" s="11">
        <v>6.3</v>
      </c>
      <c r="E5" s="12">
        <f t="shared" ref="E5:E6" si="0">C5*C$2+D5*D$2</f>
        <v>6.1599999999999993</v>
      </c>
    </row>
    <row r="6" spans="1:11" ht="14.4" x14ac:dyDescent="0.3">
      <c r="A6" s="8">
        <v>3</v>
      </c>
      <c r="B6" s="9" t="s">
        <v>6</v>
      </c>
      <c r="C6" s="10">
        <f>C47</f>
        <v>6.3</v>
      </c>
      <c r="D6" s="11">
        <v>6.6</v>
      </c>
      <c r="E6" s="12">
        <f t="shared" si="0"/>
        <v>6.3899999999999988</v>
      </c>
    </row>
    <row r="11" spans="1:11" ht="18" outlineLevel="1" x14ac:dyDescent="0.3">
      <c r="A11" s="13" t="s">
        <v>7</v>
      </c>
      <c r="B11" s="14" t="str">
        <f>B4</f>
        <v>GONZALEZ REYES ELIAS JOAQUIN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spans="1:11" ht="14.4" outlineLevel="1" x14ac:dyDescent="0.3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spans="1:11" ht="24" outlineLevel="1" x14ac:dyDescent="0.3">
      <c r="A13" s="22"/>
      <c r="B13" s="23" t="str">
        <f>[1]RUBRICA!A4</f>
        <v xml:space="preserve">1. Presenta el proyecto considerando la relevancia, objetivos, metodología y desarrollo, de acuerdo a los estándares de calidad de la disciplina. </v>
      </c>
      <c r="C13" s="24" t="s">
        <v>11</v>
      </c>
      <c r="D13" s="25" t="str">
        <f t="shared" ref="D13:D17" si="1">IF($C13=CL,"X","")</f>
        <v>X</v>
      </c>
      <c r="E13" s="25">
        <f>IF(D13="X",100*0.15,"")</f>
        <v>15</v>
      </c>
      <c r="F13" s="25" t="str">
        <f t="shared" ref="F13:F17" si="2">IF($C13=L,"X","")</f>
        <v/>
      </c>
      <c r="G13" s="25" t="str">
        <f>IF(F13="X",60*0.15,"")</f>
        <v/>
      </c>
      <c r="H13" s="25" t="str">
        <f t="shared" ref="H13:H17" si="3">IF($C13=ML,"X","")</f>
        <v/>
      </c>
      <c r="I13" s="25" t="str">
        <f>IF(H13="X",30*0.15,"")</f>
        <v/>
      </c>
      <c r="J13" s="25" t="str">
        <f t="shared" ref="J13:J17" si="4">IF($C13=NL,"X","")</f>
        <v/>
      </c>
      <c r="K13" s="25" t="str">
        <f t="shared" ref="K13:K19" si="5">IF($J13="X",0,"")</f>
        <v/>
      </c>
    </row>
    <row r="14" spans="1:11" ht="26.4" customHeight="1" outlineLevel="1" x14ac:dyDescent="0.3">
      <c r="A14" s="22"/>
      <c r="B14" s="23" t="str">
        <f>[1]RUBRICA!A5</f>
        <v xml:space="preserve">2. Presenta las evidencias del Proyecto APT, dando cuenta del cumplimiento de los objetivos y de acuerdo a los estándares de la disciplina. </v>
      </c>
      <c r="C14" s="24" t="s">
        <v>11</v>
      </c>
      <c r="D14" s="25" t="str">
        <f t="shared" si="1"/>
        <v>X</v>
      </c>
      <c r="E14" s="25">
        <f>IF(D14="X",100*0.25,"")</f>
        <v>25</v>
      </c>
      <c r="F14" s="25" t="str">
        <f t="shared" si="2"/>
        <v/>
      </c>
      <c r="G14" s="25" t="str">
        <f>IF(F14="X",60*0.25,"")</f>
        <v/>
      </c>
      <c r="H14" s="25" t="str">
        <f t="shared" si="3"/>
        <v/>
      </c>
      <c r="I14" s="25" t="str">
        <f>IF(H14="X",30*0.25,"")</f>
        <v/>
      </c>
      <c r="J14" s="25" t="str">
        <f t="shared" si="4"/>
        <v/>
      </c>
      <c r="K14" s="25" t="str">
        <f t="shared" si="5"/>
        <v/>
      </c>
    </row>
    <row r="15" spans="1:11" ht="24" outlineLevel="1" x14ac:dyDescent="0.3">
      <c r="A15" s="22"/>
      <c r="B15" s="23" t="str">
        <f>[1]RUBRICA!A6</f>
        <v>3. Responde las preguntas realizadas por la comisión, cumpliendo con los estándares de calidad de la disciplina.</v>
      </c>
      <c r="C15" s="24" t="s">
        <v>15</v>
      </c>
      <c r="D15" s="25" t="str">
        <f t="shared" si="1"/>
        <v/>
      </c>
      <c r="E15" s="25" t="str">
        <f>IF(D15="X",100*0.2,"")</f>
        <v/>
      </c>
      <c r="F15" s="25" t="str">
        <f t="shared" si="2"/>
        <v/>
      </c>
      <c r="G15" s="25" t="str">
        <f>IF(F15="X",60*0.2,"")</f>
        <v/>
      </c>
      <c r="H15" s="25" t="str">
        <f t="shared" si="3"/>
        <v>X</v>
      </c>
      <c r="I15" s="25">
        <f>IF(H15="X",30*0.2,"")</f>
        <v>6</v>
      </c>
      <c r="J15" s="25" t="str">
        <f t="shared" si="4"/>
        <v/>
      </c>
      <c r="K15" s="25" t="str">
        <f t="shared" si="5"/>
        <v/>
      </c>
    </row>
    <row r="16" spans="1:11" ht="24" outlineLevel="1" x14ac:dyDescent="0.3">
      <c r="A16" s="22"/>
      <c r="B16" s="23" t="str">
        <f>[1]RUBRICA!A7</f>
        <v>4. Expone el Proyecto APT, considerando el formato y el tiempo establecido para la presentación.</v>
      </c>
      <c r="C16" s="24" t="s">
        <v>11</v>
      </c>
      <c r="D16" s="25" t="str">
        <f t="shared" si="1"/>
        <v>X</v>
      </c>
      <c r="E16" s="25">
        <f>IF(D16="X",100*0.05,"")</f>
        <v>5</v>
      </c>
      <c r="F16" s="25" t="str">
        <f t="shared" si="2"/>
        <v/>
      </c>
      <c r="G16" s="25" t="str">
        <f>IF(F16="X",60*0.05,"")</f>
        <v/>
      </c>
      <c r="H16" s="25" t="str">
        <f t="shared" si="3"/>
        <v/>
      </c>
      <c r="I16" s="25" t="str">
        <f>IF(H16="X",30*0.05,"")</f>
        <v/>
      </c>
      <c r="J16" s="25" t="str">
        <f t="shared" si="4"/>
        <v/>
      </c>
      <c r="K16" s="25" t="str">
        <f t="shared" si="5"/>
        <v/>
      </c>
    </row>
    <row r="17" spans="1:11" ht="24" outlineLevel="1" x14ac:dyDescent="0.3">
      <c r="A17" s="22"/>
      <c r="B17" s="23" t="str">
        <f>[1]RUBRICA!A8</f>
        <v>5. Expresa sus ideas con fluidez, claridad y precisión, utilizando lenguaje técnico propio de la disciplina.</v>
      </c>
      <c r="C17" s="24" t="s">
        <v>12</v>
      </c>
      <c r="D17" s="25" t="str">
        <f t="shared" si="1"/>
        <v/>
      </c>
      <c r="E17" s="25" t="str">
        <f>IF(D17="X",100*0.05,"")</f>
        <v/>
      </c>
      <c r="F17" s="25" t="str">
        <f t="shared" si="2"/>
        <v>X</v>
      </c>
      <c r="G17" s="25">
        <f>IF(F17="X",60*0.05,"")</f>
        <v>3</v>
      </c>
      <c r="H17" s="25" t="str">
        <f t="shared" si="3"/>
        <v/>
      </c>
      <c r="I17" s="25" t="str">
        <f>IF(H17="X",30*0.05,"")</f>
        <v/>
      </c>
      <c r="J17" s="25" t="str">
        <f t="shared" si="4"/>
        <v/>
      </c>
      <c r="K17" s="25" t="str">
        <f t="shared" si="5"/>
        <v/>
      </c>
    </row>
    <row r="18" spans="1:11" ht="24" outlineLevel="1" x14ac:dyDescent="0.3">
      <c r="A18" s="22"/>
      <c r="B18" s="23" t="str">
        <f>[1]RUBRICA!A9</f>
        <v>6. Entrega la documentación y evidencias requerida por la asignatura de acuerdo a la estructura y nombres solicitados, guardando todas las evidencias de avances en Git</v>
      </c>
      <c r="C18" s="24" t="s">
        <v>11</v>
      </c>
      <c r="D18" s="25" t="str">
        <f>IF($C18=CL,"X","")</f>
        <v>X</v>
      </c>
      <c r="E18" s="25">
        <f>IF(D18="X",100*0.2,"")</f>
        <v>20</v>
      </c>
      <c r="F18" s="25" t="str">
        <f>IF($C18=L,"X","")</f>
        <v/>
      </c>
      <c r="G18" s="25" t="str">
        <f>IF(F18="X",60*0.2,"")</f>
        <v/>
      </c>
      <c r="H18" s="25" t="str">
        <f>IF($C18=ML,"X","")</f>
        <v/>
      </c>
      <c r="I18" s="25" t="str">
        <f>IF(H18="X",30*0.2,"")</f>
        <v/>
      </c>
      <c r="J18" s="25" t="str">
        <f>IF($C18=NL,"X","")</f>
        <v/>
      </c>
      <c r="K18" s="25" t="str">
        <f t="shared" si="5"/>
        <v/>
      </c>
    </row>
    <row r="19" spans="1:11" ht="24" outlineLevel="1" x14ac:dyDescent="0.3">
      <c r="A19" s="22"/>
      <c r="B19" s="23" t="str">
        <f>[1]RUBRICA!A10</f>
        <v xml:space="preserve">7. Expone el tema utilizando un lenguaje técnico disciplinar al presentar la propuesta y responde evidenciando un manejo de la información. </v>
      </c>
      <c r="C19" s="24" t="s">
        <v>11</v>
      </c>
      <c r="D19" s="25" t="str">
        <f>IF($C19=CL,"X","")</f>
        <v>X</v>
      </c>
      <c r="E19" s="25">
        <f>IF(D19="X",100*0.1,"")</f>
        <v>10</v>
      </c>
      <c r="F19" s="25" t="str">
        <f>IF($C19=L,"X","")</f>
        <v/>
      </c>
      <c r="G19" s="25" t="str">
        <f>IF(F19="X",60*0.1,"")</f>
        <v/>
      </c>
      <c r="H19" s="25" t="str">
        <f>IF($C19=ML,"X","")</f>
        <v/>
      </c>
      <c r="I19" s="25" t="str">
        <f>IF(H19="X",30*0.1,"")</f>
        <v/>
      </c>
      <c r="J19" s="25" t="str">
        <f>IF($C19=NL,"X","")</f>
        <v/>
      </c>
      <c r="K19" s="25" t="str">
        <f t="shared" si="5"/>
        <v/>
      </c>
    </row>
    <row r="20" spans="1:11" ht="15.75" customHeight="1" outlineLevel="1" x14ac:dyDescent="0.35">
      <c r="A20" s="19"/>
      <c r="B20" s="26" t="s">
        <v>16</v>
      </c>
      <c r="C20" s="27">
        <f>E20+G20+I20+K20</f>
        <v>84</v>
      </c>
      <c r="D20" s="28"/>
      <c r="E20" s="28">
        <f>SUM(E13:E19)</f>
        <v>75</v>
      </c>
      <c r="F20" s="28"/>
      <c r="G20" s="28">
        <f>SUM(G13:G19)</f>
        <v>3</v>
      </c>
      <c r="H20" s="28"/>
      <c r="I20" s="28">
        <f>SUM(I13:I19)</f>
        <v>6</v>
      </c>
      <c r="J20" s="28"/>
      <c r="K20" s="28">
        <f>SUM(K13:K19)</f>
        <v>0</v>
      </c>
    </row>
    <row r="21" spans="1:11" ht="15.75" customHeight="1" outlineLevel="1" x14ac:dyDescent="0.35">
      <c r="A21" s="21"/>
      <c r="B21" s="29" t="s">
        <v>17</v>
      </c>
      <c r="C21" s="30">
        <f>VLOOKUP(C20,[1]ESCALA_IEP!A2:B202,2,FALSE)</f>
        <v>5.8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13" t="s">
        <v>7</v>
      </c>
      <c r="B24" s="14" t="str">
        <f>B5</f>
        <v>CAAMANO BARRERA JOSE LUIS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spans="1:11" ht="24" customHeight="1" x14ac:dyDescent="0.3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spans="1:11" ht="24" customHeight="1" x14ac:dyDescent="0.3">
      <c r="A26" s="22"/>
      <c r="B26" s="23" t="str">
        <f>[1]RUBRICA!A4</f>
        <v xml:space="preserve">1. Presenta el proyecto considerando la relevancia, objetivos, metodología y desarrollo, de acuerdo a los estándares de calidad de la disciplina. </v>
      </c>
      <c r="C26" s="24" t="s">
        <v>11</v>
      </c>
      <c r="D26" s="25" t="str">
        <f t="shared" ref="D26:D30" si="6">IF($C26=CL,"X","")</f>
        <v>X</v>
      </c>
      <c r="E26" s="25">
        <f>IF(D26="X",100*0.15,"")</f>
        <v>15</v>
      </c>
      <c r="F26" s="25" t="str">
        <f t="shared" ref="F26:F30" si="7">IF($C26=L,"X","")</f>
        <v/>
      </c>
      <c r="G26" s="25" t="str">
        <f>IF(F26="X",60*0.15,"")</f>
        <v/>
      </c>
      <c r="H26" s="25" t="str">
        <f t="shared" ref="H26:H30" si="8">IF($C26=ML,"X","")</f>
        <v/>
      </c>
      <c r="I26" s="25" t="str">
        <f>IF(H26="X",30*0.15,"")</f>
        <v/>
      </c>
      <c r="J26" s="25" t="str">
        <f t="shared" ref="J26:J30" si="9">IF($C26=NL,"X","")</f>
        <v/>
      </c>
      <c r="K26" s="25" t="str">
        <f t="shared" ref="K26:K32" si="10">IF($J26="X",0,"")</f>
        <v/>
      </c>
    </row>
    <row r="27" spans="1:11" ht="24" customHeight="1" x14ac:dyDescent="0.3">
      <c r="A27" s="22"/>
      <c r="B27" s="23" t="str">
        <f>[1]RUBRICA!A5</f>
        <v xml:space="preserve">2. Presenta las evidencias del Proyecto APT, dando cuenta del cumplimiento de los objetivos y de acuerdo a los estándares de la disciplina. </v>
      </c>
      <c r="C27" s="24" t="s">
        <v>11</v>
      </c>
      <c r="D27" s="25" t="str">
        <f t="shared" si="6"/>
        <v>X</v>
      </c>
      <c r="E27" s="25">
        <f>IF(D27="X",100*0.25,"")</f>
        <v>25</v>
      </c>
      <c r="F27" s="25" t="str">
        <f t="shared" si="7"/>
        <v/>
      </c>
      <c r="G27" s="25" t="str">
        <f>IF(F27="X",60*0.25,"")</f>
        <v/>
      </c>
      <c r="H27" s="25" t="str">
        <f t="shared" si="8"/>
        <v/>
      </c>
      <c r="I27" s="25" t="str">
        <f>IF(H27="X",30*0.25,"")</f>
        <v/>
      </c>
      <c r="J27" s="25" t="str">
        <f t="shared" si="9"/>
        <v/>
      </c>
      <c r="K27" s="25" t="str">
        <f t="shared" si="10"/>
        <v/>
      </c>
    </row>
    <row r="28" spans="1:11" ht="24" customHeight="1" x14ac:dyDescent="0.3">
      <c r="A28" s="22"/>
      <c r="B28" s="23" t="str">
        <f>[1]RUBRICA!A6</f>
        <v>3. Responde las preguntas realizadas por la comisión, cumpliendo con los estándares de calidad de la disciplina.</v>
      </c>
      <c r="C28" s="24" t="s">
        <v>12</v>
      </c>
      <c r="D28" s="25" t="str">
        <f t="shared" si="6"/>
        <v/>
      </c>
      <c r="E28" s="25" t="str">
        <f>IF(D28="X",100*0.2,"")</f>
        <v/>
      </c>
      <c r="F28" s="25" t="str">
        <f t="shared" si="7"/>
        <v>X</v>
      </c>
      <c r="G28" s="25">
        <f>IF(F28="X",60*0.2,"")</f>
        <v>12</v>
      </c>
      <c r="H28" s="25" t="str">
        <f t="shared" si="8"/>
        <v/>
      </c>
      <c r="I28" s="25" t="str">
        <f>IF(H28="X",30*0.2,"")</f>
        <v/>
      </c>
      <c r="J28" s="25" t="str">
        <f t="shared" si="9"/>
        <v/>
      </c>
      <c r="K28" s="25" t="str">
        <f t="shared" si="10"/>
        <v/>
      </c>
    </row>
    <row r="29" spans="1:11" ht="24" customHeight="1" x14ac:dyDescent="0.3">
      <c r="A29" s="22"/>
      <c r="B29" s="23" t="str">
        <f>[1]RUBRICA!A7</f>
        <v>4. Expone el Proyecto APT, considerando el formato y el tiempo establecido para la presentación.</v>
      </c>
      <c r="C29" s="24" t="s">
        <v>11</v>
      </c>
      <c r="D29" s="25" t="str">
        <f t="shared" si="6"/>
        <v>X</v>
      </c>
      <c r="E29" s="25">
        <f>IF(D29="X",100*0.05,"")</f>
        <v>5</v>
      </c>
      <c r="F29" s="25" t="str">
        <f t="shared" si="7"/>
        <v/>
      </c>
      <c r="G29" s="25" t="str">
        <f>IF(F29="X",60*0.05,"")</f>
        <v/>
      </c>
      <c r="H29" s="25" t="str">
        <f t="shared" si="8"/>
        <v/>
      </c>
      <c r="I29" s="25" t="str">
        <f>IF(H29="X",30*0.05,"")</f>
        <v/>
      </c>
      <c r="J29" s="25" t="str">
        <f t="shared" si="9"/>
        <v/>
      </c>
      <c r="K29" s="25" t="str">
        <f t="shared" si="10"/>
        <v/>
      </c>
    </row>
    <row r="30" spans="1:11" ht="24" customHeight="1" x14ac:dyDescent="0.3">
      <c r="A30" s="22"/>
      <c r="B30" s="23" t="str">
        <f>[1]RUBRICA!A8</f>
        <v>5. Expresa sus ideas con fluidez, claridad y precisión, utilizando lenguaje técnico propio de la disciplina.</v>
      </c>
      <c r="C30" s="24" t="s">
        <v>11</v>
      </c>
      <c r="D30" s="25" t="str">
        <f t="shared" si="6"/>
        <v>X</v>
      </c>
      <c r="E30" s="25">
        <f>IF(D30="X",100*0.05,"")</f>
        <v>5</v>
      </c>
      <c r="F30" s="25" t="str">
        <f t="shared" si="7"/>
        <v/>
      </c>
      <c r="G30" s="25" t="str">
        <f>IF(F30="X",60*0.05,"")</f>
        <v/>
      </c>
      <c r="H30" s="25" t="str">
        <f t="shared" si="8"/>
        <v/>
      </c>
      <c r="I30" s="25" t="str">
        <f>IF(H30="X",30*0.05,"")</f>
        <v/>
      </c>
      <c r="J30" s="25" t="str">
        <f t="shared" si="9"/>
        <v/>
      </c>
      <c r="K30" s="25" t="str">
        <f t="shared" si="10"/>
        <v/>
      </c>
    </row>
    <row r="31" spans="1:11" ht="24" customHeight="1" x14ac:dyDescent="0.3">
      <c r="A31" s="22"/>
      <c r="B31" s="23" t="str">
        <f>[1]RUBRICA!A9</f>
        <v>6. Entrega la documentación y evidencias requerida por la asignatura de acuerdo a la estructura y nombres solicitados, guardando todas las evidencias de avances en Git</v>
      </c>
      <c r="C31" s="24" t="s">
        <v>11</v>
      </c>
      <c r="D31" s="25" t="str">
        <f>IF($C31=CL,"X","")</f>
        <v>X</v>
      </c>
      <c r="E31" s="25">
        <f>IF(D31="X",100*0.2,"")</f>
        <v>20</v>
      </c>
      <c r="F31" s="25" t="str">
        <f>IF($C31=L,"X","")</f>
        <v/>
      </c>
      <c r="G31" s="25" t="str">
        <f>IF(F31="X",60*0.2,"")</f>
        <v/>
      </c>
      <c r="H31" s="25" t="str">
        <f>IF($C31=ML,"X","")</f>
        <v/>
      </c>
      <c r="I31" s="25" t="str">
        <f>IF(H31="X",30*0.2,"")</f>
        <v/>
      </c>
      <c r="J31" s="25" t="str">
        <f>IF($C31=NL,"X","")</f>
        <v/>
      </c>
      <c r="K31" s="25" t="str">
        <f t="shared" si="10"/>
        <v/>
      </c>
    </row>
    <row r="32" spans="1:11" ht="24" customHeight="1" x14ac:dyDescent="0.3">
      <c r="A32" s="22"/>
      <c r="B32" s="23" t="str">
        <f>[1]RUBRICA!A10</f>
        <v xml:space="preserve">7. Expone el tema utilizando un lenguaje técnico disciplinar al presentar la propuesta y responde evidenciando un manejo de la información. </v>
      </c>
      <c r="C32" s="24" t="s">
        <v>12</v>
      </c>
      <c r="D32" s="25" t="str">
        <f>IF($C32=CL,"X","")</f>
        <v/>
      </c>
      <c r="E32" s="25" t="str">
        <f>IF(D32="X",100*0.1,"")</f>
        <v/>
      </c>
      <c r="F32" s="25" t="str">
        <f>IF($C32=L,"X","")</f>
        <v>X</v>
      </c>
      <c r="G32" s="25">
        <f>IF(F32="X",60*0.1,"")</f>
        <v>6</v>
      </c>
      <c r="H32" s="25" t="str">
        <f>IF($C32=ML,"X","")</f>
        <v/>
      </c>
      <c r="I32" s="25" t="str">
        <f>IF(H32="X",30*0.1,"")</f>
        <v/>
      </c>
      <c r="J32" s="25" t="str">
        <f>IF($C32=NL,"X","")</f>
        <v/>
      </c>
      <c r="K32" s="25" t="str">
        <f t="shared" si="10"/>
        <v/>
      </c>
    </row>
    <row r="33" spans="1:11" ht="24" customHeight="1" x14ac:dyDescent="0.35">
      <c r="A33" s="19"/>
      <c r="B33" s="26" t="s">
        <v>16</v>
      </c>
      <c r="C33" s="27">
        <f>E33+G33+I33+K33</f>
        <v>88</v>
      </c>
      <c r="D33" s="28"/>
      <c r="E33" s="28">
        <f>SUM(E26:E32)</f>
        <v>70</v>
      </c>
      <c r="F33" s="28"/>
      <c r="G33" s="28">
        <f>SUM(G26:G32)</f>
        <v>18</v>
      </c>
      <c r="H33" s="28"/>
      <c r="I33" s="28">
        <f>SUM(I26:I32)</f>
        <v>0</v>
      </c>
      <c r="J33" s="28"/>
      <c r="K33" s="28">
        <f>SUM(K26:K32)</f>
        <v>0</v>
      </c>
    </row>
    <row r="34" spans="1:11" ht="24" customHeight="1" x14ac:dyDescent="0.35">
      <c r="A34" s="21"/>
      <c r="B34" s="29" t="s">
        <v>17</v>
      </c>
      <c r="C34" s="30">
        <f>VLOOKUP(C33,[1]ESCALA_IEP!A15:B215,2,FALSE)</f>
        <v>6.1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13" t="s">
        <v>7</v>
      </c>
      <c r="B37" s="14" t="str">
        <f>B6</f>
        <v>CAAMANO BARRERA ESTEBAN ALEJANDRO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spans="1:11" ht="24" customHeight="1" x14ac:dyDescent="0.3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spans="1:11" ht="24" customHeight="1" x14ac:dyDescent="0.3">
      <c r="A39" s="22"/>
      <c r="B39" s="23" t="str">
        <f>[1]RUBRICA!A4</f>
        <v xml:space="preserve">1. Presenta el proyecto considerando la relevancia, objetivos, metodología y desarrollo, de acuerdo a los estándares de calidad de la disciplina. </v>
      </c>
      <c r="C39" s="24" t="s">
        <v>11</v>
      </c>
      <c r="D39" s="25" t="str">
        <f t="shared" ref="D39:D43" si="11">IF($C39=CL,"X","")</f>
        <v>X</v>
      </c>
      <c r="E39" s="25">
        <f>IF(D39="X",100*0.15,"")</f>
        <v>15</v>
      </c>
      <c r="F39" s="25" t="str">
        <f t="shared" ref="F39:F43" si="12">IF($C39=L,"X","")</f>
        <v/>
      </c>
      <c r="G39" s="25" t="str">
        <f>IF(F39="X",60*0.15,"")</f>
        <v/>
      </c>
      <c r="H39" s="25" t="str">
        <f t="shared" ref="H39:H43" si="13">IF($C39=ML,"X","")</f>
        <v/>
      </c>
      <c r="I39" s="25" t="str">
        <f>IF(H39="X",30*0.15,"")</f>
        <v/>
      </c>
      <c r="J39" s="25" t="str">
        <f t="shared" ref="J39:J43" si="14">IF($C39=NL,"X","")</f>
        <v/>
      </c>
      <c r="K39" s="25" t="str">
        <f t="shared" ref="K39:K45" si="15">IF($J39="X",0,"")</f>
        <v/>
      </c>
    </row>
    <row r="40" spans="1:11" ht="24" customHeight="1" x14ac:dyDescent="0.3">
      <c r="A40" s="22"/>
      <c r="B40" s="23" t="str">
        <f>[1]RUBRICA!A5</f>
        <v xml:space="preserve">2. Presenta las evidencias del Proyecto APT, dando cuenta del cumplimiento de los objetivos y de acuerdo a los estándares de la disciplina. </v>
      </c>
      <c r="C40" s="24" t="s">
        <v>11</v>
      </c>
      <c r="D40" s="25" t="str">
        <f t="shared" si="11"/>
        <v>X</v>
      </c>
      <c r="E40" s="25">
        <f>IF(D40="X",100*0.25,"")</f>
        <v>25</v>
      </c>
      <c r="F40" s="25" t="str">
        <f t="shared" si="12"/>
        <v/>
      </c>
      <c r="G40" s="25" t="str">
        <f>IF(F40="X",60*0.25,"")</f>
        <v/>
      </c>
      <c r="H40" s="25" t="str">
        <f t="shared" si="13"/>
        <v/>
      </c>
      <c r="I40" s="25" t="str">
        <f>IF(H40="X",30*0.25,"")</f>
        <v/>
      </c>
      <c r="J40" s="25" t="str">
        <f t="shared" si="14"/>
        <v/>
      </c>
      <c r="K40" s="25" t="str">
        <f t="shared" si="15"/>
        <v/>
      </c>
    </row>
    <row r="41" spans="1:11" ht="24" customHeight="1" x14ac:dyDescent="0.3">
      <c r="A41" s="22"/>
      <c r="B41" s="23" t="str">
        <f>[1]RUBRICA!A6</f>
        <v>3. Responde las preguntas realizadas por la comisión, cumpliendo con los estándares de calidad de la disciplina.</v>
      </c>
      <c r="C41" s="24" t="s">
        <v>12</v>
      </c>
      <c r="D41" s="25" t="str">
        <f t="shared" si="11"/>
        <v/>
      </c>
      <c r="E41" s="25" t="str">
        <f>IF(D41="X",100*0.2,"")</f>
        <v/>
      </c>
      <c r="F41" s="25" t="str">
        <f t="shared" si="12"/>
        <v>X</v>
      </c>
      <c r="G41" s="25">
        <f>IF(F41="X",60*0.2,"")</f>
        <v>12</v>
      </c>
      <c r="H41" s="25" t="str">
        <f t="shared" si="13"/>
        <v/>
      </c>
      <c r="I41" s="25" t="str">
        <f>IF(H41="X",30*0.2,"")</f>
        <v/>
      </c>
      <c r="J41" s="25" t="str">
        <f t="shared" si="14"/>
        <v/>
      </c>
      <c r="K41" s="25" t="str">
        <f t="shared" si="15"/>
        <v/>
      </c>
    </row>
    <row r="42" spans="1:11" ht="24" customHeight="1" x14ac:dyDescent="0.3">
      <c r="A42" s="22"/>
      <c r="B42" s="23" t="str">
        <f>[1]RUBRICA!A7</f>
        <v>4. Expone el Proyecto APT, considerando el formato y el tiempo establecido para la presentación.</v>
      </c>
      <c r="C42" s="24" t="s">
        <v>11</v>
      </c>
      <c r="D42" s="25" t="str">
        <f t="shared" si="11"/>
        <v>X</v>
      </c>
      <c r="E42" s="25">
        <f>IF(D42="X",100*0.05,"")</f>
        <v>5</v>
      </c>
      <c r="F42" s="25" t="str">
        <f t="shared" si="12"/>
        <v/>
      </c>
      <c r="G42" s="25" t="str">
        <f>IF(F42="X",60*0.05,"")</f>
        <v/>
      </c>
      <c r="H42" s="25" t="str">
        <f t="shared" si="13"/>
        <v/>
      </c>
      <c r="I42" s="25" t="str">
        <f>IF(H42="X",30*0.05,"")</f>
        <v/>
      </c>
      <c r="J42" s="25" t="str">
        <f t="shared" si="14"/>
        <v/>
      </c>
      <c r="K42" s="25" t="str">
        <f t="shared" si="15"/>
        <v/>
      </c>
    </row>
    <row r="43" spans="1:11" ht="24" customHeight="1" x14ac:dyDescent="0.3">
      <c r="A43" s="22"/>
      <c r="B43" s="23" t="str">
        <f>[1]RUBRICA!A8</f>
        <v>5. Expresa sus ideas con fluidez, claridad y precisión, utilizando lenguaje técnico propio de la disciplina.</v>
      </c>
      <c r="C43" s="24" t="s">
        <v>12</v>
      </c>
      <c r="D43" s="25" t="str">
        <f t="shared" si="11"/>
        <v/>
      </c>
      <c r="E43" s="25" t="str">
        <f>IF(D43="X",100*0.05,"")</f>
        <v/>
      </c>
      <c r="F43" s="25" t="str">
        <f t="shared" si="12"/>
        <v>X</v>
      </c>
      <c r="G43" s="25">
        <f>IF(F43="X",60*0.05,"")</f>
        <v>3</v>
      </c>
      <c r="H43" s="25" t="str">
        <f t="shared" si="13"/>
        <v/>
      </c>
      <c r="I43" s="25" t="str">
        <f>IF(H43="X",30*0.05,"")</f>
        <v/>
      </c>
      <c r="J43" s="25" t="str">
        <f t="shared" si="14"/>
        <v/>
      </c>
      <c r="K43" s="25" t="str">
        <f t="shared" si="15"/>
        <v/>
      </c>
    </row>
    <row r="44" spans="1:11" ht="24" customHeight="1" x14ac:dyDescent="0.3">
      <c r="A44" s="22"/>
      <c r="B44" s="23" t="str">
        <f>[1]RUBRICA!A9</f>
        <v>6. Entrega la documentación y evidencias requerida por la asignatura de acuerdo a la estructura y nombres solicitados, guardando todas las evidencias de avances en Git</v>
      </c>
      <c r="C44" s="24" t="s">
        <v>11</v>
      </c>
      <c r="D44" s="25" t="str">
        <f>IF($C44=CL,"X","")</f>
        <v>X</v>
      </c>
      <c r="E44" s="25">
        <f>IF(D44="X",100*0.2,"")</f>
        <v>20</v>
      </c>
      <c r="F44" s="25" t="str">
        <f>IF($C44=L,"X","")</f>
        <v/>
      </c>
      <c r="G44" s="25" t="str">
        <f>IF(F44="X",60*0.2,"")</f>
        <v/>
      </c>
      <c r="H44" s="25" t="str">
        <f>IF($C44=ML,"X","")</f>
        <v/>
      </c>
      <c r="I44" s="25" t="str">
        <f>IF(H44="X",30*0.2,"")</f>
        <v/>
      </c>
      <c r="J44" s="25" t="str">
        <f>IF($C44=NL,"X","")</f>
        <v/>
      </c>
      <c r="K44" s="25" t="str">
        <f t="shared" si="15"/>
        <v/>
      </c>
    </row>
    <row r="45" spans="1:11" ht="24" customHeight="1" x14ac:dyDescent="0.3">
      <c r="A45" s="22"/>
      <c r="B45" s="23" t="str">
        <f>[1]RUBRICA!A10</f>
        <v xml:space="preserve">7. Expone el tema utilizando un lenguaje técnico disciplinar al presentar la propuesta y responde evidenciando un manejo de la información. </v>
      </c>
      <c r="C45" s="24" t="s">
        <v>11</v>
      </c>
      <c r="D45" s="25" t="str">
        <f>IF($C45=CL,"X","")</f>
        <v>X</v>
      </c>
      <c r="E45" s="25">
        <f>IF(D45="X",100*0.1,"")</f>
        <v>10</v>
      </c>
      <c r="F45" s="25" t="str">
        <f>IF($C45=L,"X","")</f>
        <v/>
      </c>
      <c r="G45" s="25" t="str">
        <f>IF(F45="X",60*0.1,"")</f>
        <v/>
      </c>
      <c r="H45" s="25" t="str">
        <f>IF($C45=ML,"X","")</f>
        <v/>
      </c>
      <c r="I45" s="25" t="str">
        <f>IF(H45="X",30*0.1,"")</f>
        <v/>
      </c>
      <c r="J45" s="25" t="str">
        <f>IF($C45=NL,"X","")</f>
        <v/>
      </c>
      <c r="K45" s="25" t="str">
        <f t="shared" si="15"/>
        <v/>
      </c>
    </row>
    <row r="46" spans="1:11" ht="24" customHeight="1" x14ac:dyDescent="0.35">
      <c r="A46" s="19"/>
      <c r="B46" s="26" t="s">
        <v>16</v>
      </c>
      <c r="C46" s="27">
        <f>E46+G46+I46+K46</f>
        <v>90</v>
      </c>
      <c r="D46" s="28"/>
      <c r="E46" s="28">
        <f>SUM(E39:E45)</f>
        <v>75</v>
      </c>
      <c r="F46" s="28"/>
      <c r="G46" s="28">
        <f>SUM(G39:G45)</f>
        <v>15</v>
      </c>
      <c r="H46" s="28"/>
      <c r="I46" s="28">
        <f>SUM(I39:I45)</f>
        <v>0</v>
      </c>
      <c r="J46" s="28"/>
      <c r="K46" s="28">
        <f>SUM(K39:K45)</f>
        <v>0</v>
      </c>
    </row>
    <row r="47" spans="1:11" ht="24" customHeight="1" x14ac:dyDescent="0.35">
      <c r="A47" s="21"/>
      <c r="B47" s="29" t="s">
        <v>17</v>
      </c>
      <c r="C47" s="30">
        <f>VLOOKUP(C46,[1]ESCALA_IEP!A28:B228,2,FALSE)</f>
        <v>6.3</v>
      </c>
    </row>
    <row r="48" spans="1:11" ht="15.75" customHeight="1" x14ac:dyDescent="0.3"/>
    <row r="49" spans="1:11" ht="15.75" customHeight="1" x14ac:dyDescent="0.3"/>
    <row r="50" spans="1:11" ht="24" hidden="1" customHeight="1" x14ac:dyDescent="0.3">
      <c r="A50" s="13" t="s">
        <v>18</v>
      </c>
      <c r="B50" s="14" t="str">
        <f>B4</f>
        <v>GONZALEZ REYES ELIAS JOAQUIN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spans="1:11" ht="24" hidden="1" customHeight="1" x14ac:dyDescent="0.3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spans="1:11" ht="24" hidden="1" customHeight="1" x14ac:dyDescent="0.3">
      <c r="A52" s="22"/>
      <c r="B52" s="23" t="str">
        <f>[1]RUBRICA!A4</f>
        <v xml:space="preserve">1. Presenta el proyecto considerando la relevancia, objetivos, metodología y desarrollo, de acuerdo a los estándares de calidad de la disciplina. </v>
      </c>
      <c r="C52" s="24" t="s">
        <v>11</v>
      </c>
      <c r="D52" s="25" t="str">
        <f t="shared" ref="D52:D56" si="16">IF($C52=CL,"X","")</f>
        <v>X</v>
      </c>
      <c r="E52" s="25">
        <f>IF(D52="X",100*0.15,"")</f>
        <v>15</v>
      </c>
      <c r="F52" s="25" t="str">
        <f t="shared" ref="F52:F56" si="17">IF($C52=L,"X","")</f>
        <v/>
      </c>
      <c r="G52" s="25" t="str">
        <f>IF(F52="X",60*0.15,"")</f>
        <v/>
      </c>
      <c r="H52" s="25" t="str">
        <f t="shared" ref="H52:H56" si="18">IF($C52=ML,"X","")</f>
        <v/>
      </c>
      <c r="I52" s="25" t="str">
        <f>IF(H52="X",30*0.15,"")</f>
        <v/>
      </c>
      <c r="J52" s="25" t="str">
        <f t="shared" ref="J52:J56" si="19">IF($C52=NL,"X","")</f>
        <v/>
      </c>
      <c r="K52" s="25" t="str">
        <f t="shared" ref="K52:K58" si="20">IF($J52="X",0,"")</f>
        <v/>
      </c>
    </row>
    <row r="53" spans="1:11" ht="24" hidden="1" customHeight="1" x14ac:dyDescent="0.3">
      <c r="A53" s="22"/>
      <c r="B53" s="23" t="str">
        <f>[1]RUBRICA!A5</f>
        <v xml:space="preserve">2. Presenta las evidencias del Proyecto APT, dando cuenta del cumplimiento de los objetivos y de acuerdo a los estándares de la disciplina. </v>
      </c>
      <c r="C53" s="24" t="s">
        <v>11</v>
      </c>
      <c r="D53" s="25" t="str">
        <f t="shared" si="16"/>
        <v>X</v>
      </c>
      <c r="E53" s="25">
        <f>IF(D53="X",100*0.25,"")</f>
        <v>25</v>
      </c>
      <c r="F53" s="25" t="str">
        <f t="shared" si="17"/>
        <v/>
      </c>
      <c r="G53" s="25" t="str">
        <f>IF(F53="X",60*0.25,"")</f>
        <v/>
      </c>
      <c r="H53" s="25" t="str">
        <f t="shared" si="18"/>
        <v/>
      </c>
      <c r="I53" s="25" t="str">
        <f>IF(H53="X",30*0.25,"")</f>
        <v/>
      </c>
      <c r="J53" s="25" t="str">
        <f t="shared" si="19"/>
        <v/>
      </c>
      <c r="K53" s="25" t="str">
        <f t="shared" si="20"/>
        <v/>
      </c>
    </row>
    <row r="54" spans="1:11" ht="24" hidden="1" customHeight="1" x14ac:dyDescent="0.3">
      <c r="A54" s="22"/>
      <c r="B54" s="23" t="str">
        <f>[1]RUBRICA!A6</f>
        <v>3. Responde las preguntas realizadas por la comisión, cumpliendo con los estándares de calidad de la disciplina.</v>
      </c>
      <c r="C54" s="24" t="s">
        <v>11</v>
      </c>
      <c r="D54" s="25" t="str">
        <f t="shared" si="16"/>
        <v>X</v>
      </c>
      <c r="E54" s="25">
        <f>IF(D54="X",100*0.2,"")</f>
        <v>20</v>
      </c>
      <c r="F54" s="25" t="str">
        <f t="shared" si="17"/>
        <v/>
      </c>
      <c r="G54" s="25" t="str">
        <f>IF(F54="X",60*0.2,"")</f>
        <v/>
      </c>
      <c r="H54" s="25" t="str">
        <f t="shared" si="18"/>
        <v/>
      </c>
      <c r="I54" s="25" t="str">
        <f>IF(H54="X",30*0.2,"")</f>
        <v/>
      </c>
      <c r="J54" s="25" t="str">
        <f t="shared" si="19"/>
        <v/>
      </c>
      <c r="K54" s="25" t="str">
        <f t="shared" si="20"/>
        <v/>
      </c>
    </row>
    <row r="55" spans="1:11" ht="24" hidden="1" customHeight="1" x14ac:dyDescent="0.3">
      <c r="A55" s="22"/>
      <c r="B55" s="23" t="str">
        <f>[1]RUBRICA!A7</f>
        <v>4. Expone el Proyecto APT, considerando el formato y el tiempo establecido para la presentación.</v>
      </c>
      <c r="C55" s="24" t="s">
        <v>11</v>
      </c>
      <c r="D55" s="25" t="str">
        <f t="shared" si="16"/>
        <v>X</v>
      </c>
      <c r="E55" s="25">
        <f>IF(D55="X",100*0.05,"")</f>
        <v>5</v>
      </c>
      <c r="F55" s="25" t="str">
        <f t="shared" si="17"/>
        <v/>
      </c>
      <c r="G55" s="25" t="str">
        <f>IF(F55="X",60*0.05,"")</f>
        <v/>
      </c>
      <c r="H55" s="25" t="str">
        <f t="shared" si="18"/>
        <v/>
      </c>
      <c r="I55" s="25" t="str">
        <f>IF(H55="X",30*0.05,"")</f>
        <v/>
      </c>
      <c r="J55" s="25" t="str">
        <f t="shared" si="19"/>
        <v/>
      </c>
      <c r="K55" s="25" t="str">
        <f t="shared" si="20"/>
        <v/>
      </c>
    </row>
    <row r="56" spans="1:11" ht="24" hidden="1" customHeight="1" x14ac:dyDescent="0.3">
      <c r="A56" s="22"/>
      <c r="B56" s="23" t="str">
        <f>[1]RUBRICA!A8</f>
        <v>5. Expresa sus ideas con fluidez, claridad y precisión, utilizando lenguaje técnico propio de la disciplina.</v>
      </c>
      <c r="C56" s="24" t="s">
        <v>11</v>
      </c>
      <c r="D56" s="25" t="str">
        <f t="shared" si="16"/>
        <v>X</v>
      </c>
      <c r="E56" s="25">
        <f>IF(D56="X",100*0.05,"")</f>
        <v>5</v>
      </c>
      <c r="F56" s="25" t="str">
        <f t="shared" si="17"/>
        <v/>
      </c>
      <c r="G56" s="25" t="str">
        <f>IF(F56="X",60*0.05,"")</f>
        <v/>
      </c>
      <c r="H56" s="25" t="str">
        <f t="shared" si="18"/>
        <v/>
      </c>
      <c r="I56" s="25" t="str">
        <f>IF(H56="X",30*0.05,"")</f>
        <v/>
      </c>
      <c r="J56" s="25" t="str">
        <f t="shared" si="19"/>
        <v/>
      </c>
      <c r="K56" s="25" t="str">
        <f t="shared" si="20"/>
        <v/>
      </c>
    </row>
    <row r="57" spans="1:11" ht="24" hidden="1" customHeight="1" x14ac:dyDescent="0.3">
      <c r="A57" s="22"/>
      <c r="B57" s="23" t="str">
        <f>[1]RUBRICA!A9</f>
        <v>6. Entrega la documentación y evidencias requerida por la asignatura de acuerdo a la estructura y nombres solicitados, guardando todas las evidencias de avances en Git</v>
      </c>
      <c r="C57" s="24" t="s">
        <v>11</v>
      </c>
      <c r="D57" s="25" t="str">
        <f>IF($C57=CL,"X","")</f>
        <v>X</v>
      </c>
      <c r="E57" s="25">
        <f>IF(D57="X",100*0.2,"")</f>
        <v>20</v>
      </c>
      <c r="F57" s="25" t="str">
        <f>IF($C57=L,"X","")</f>
        <v/>
      </c>
      <c r="G57" s="25" t="str">
        <f>IF(F57="X",60*0.2,"")</f>
        <v/>
      </c>
      <c r="H57" s="25" t="str">
        <f>IF($C57=ML,"X","")</f>
        <v/>
      </c>
      <c r="I57" s="25" t="str">
        <f>IF(H57="X",30*0.2,"")</f>
        <v/>
      </c>
      <c r="J57" s="25" t="str">
        <f>IF($C57=NL,"X","")</f>
        <v/>
      </c>
      <c r="K57" s="25" t="str">
        <f t="shared" si="20"/>
        <v/>
      </c>
    </row>
    <row r="58" spans="1:11" ht="24" hidden="1" customHeight="1" x14ac:dyDescent="0.3">
      <c r="A58" s="22"/>
      <c r="B58" s="23" t="str">
        <f>[1]RUBRICA!A10</f>
        <v xml:space="preserve">7. Expone el tema utilizando un lenguaje técnico disciplinar al presentar la propuesta y responde evidenciando un manejo de la información. </v>
      </c>
      <c r="C58" s="24" t="s">
        <v>11</v>
      </c>
      <c r="D58" s="25" t="str">
        <f>IF($C58=CL,"X","")</f>
        <v>X</v>
      </c>
      <c r="E58" s="25">
        <f>IF(D58="X",100*0.1,"")</f>
        <v>10</v>
      </c>
      <c r="F58" s="25" t="str">
        <f>IF($C58=L,"X","")</f>
        <v/>
      </c>
      <c r="G58" s="25" t="str">
        <f>IF(F58="X",60*0.1,"")</f>
        <v/>
      </c>
      <c r="H58" s="25" t="str">
        <f>IF($C58=ML,"X","")</f>
        <v/>
      </c>
      <c r="I58" s="25" t="str">
        <f>IF(H58="X",30*0.1,"")</f>
        <v/>
      </c>
      <c r="J58" s="25" t="str">
        <f>IF($C58=NL,"X","")</f>
        <v/>
      </c>
      <c r="K58" s="25" t="str">
        <f t="shared" si="20"/>
        <v/>
      </c>
    </row>
    <row r="59" spans="1:11" ht="24" hidden="1" customHeight="1" x14ac:dyDescent="0.35">
      <c r="A59" s="19"/>
      <c r="B59" s="26" t="s">
        <v>16</v>
      </c>
      <c r="C59" s="27">
        <f>E59+G59+I59+K59</f>
        <v>100</v>
      </c>
      <c r="D59" s="28"/>
      <c r="E59" s="28">
        <f>SUM(E52:E58)</f>
        <v>100</v>
      </c>
      <c r="F59" s="28"/>
      <c r="G59" s="28">
        <f>SUM(G52:G58)</f>
        <v>0</v>
      </c>
      <c r="H59" s="28"/>
      <c r="I59" s="28">
        <f>SUM(I52:I58)</f>
        <v>0</v>
      </c>
      <c r="J59" s="28"/>
      <c r="K59" s="28">
        <f>SUM(K52:K58)</f>
        <v>0</v>
      </c>
    </row>
    <row r="60" spans="1:11" ht="24" hidden="1" customHeight="1" x14ac:dyDescent="0.35">
      <c r="A60" s="21"/>
      <c r="B60" s="29" t="s">
        <v>17</v>
      </c>
      <c r="C60" s="30">
        <f>VLOOKUP(C59,[1]ESCALA_IEP!A41:B241,2,FALSE)</f>
        <v>7</v>
      </c>
    </row>
    <row r="61" spans="1:11" ht="15.75" hidden="1" customHeight="1" x14ac:dyDescent="0.3"/>
    <row r="62" spans="1:11" ht="15.75" hidden="1" customHeight="1" x14ac:dyDescent="0.3"/>
    <row r="63" spans="1:11" ht="24" hidden="1" customHeight="1" x14ac:dyDescent="0.3">
      <c r="A63" s="13" t="s">
        <v>19</v>
      </c>
      <c r="B63" s="14" t="str">
        <f>B5</f>
        <v>CAAMANO BARRERA JOSE LUIS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spans="1:11" ht="24" hidden="1" customHeight="1" x14ac:dyDescent="0.3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spans="1:11" ht="24" hidden="1" customHeight="1" x14ac:dyDescent="0.3">
      <c r="A65" s="22"/>
      <c r="B65" s="23" t="str">
        <f>[1]RUBRICA!A4</f>
        <v xml:space="preserve">1. Presenta el proyecto considerando la relevancia, objetivos, metodología y desarrollo, de acuerdo a los estándares de calidad de la disciplina. </v>
      </c>
      <c r="C65" s="24" t="s">
        <v>11</v>
      </c>
      <c r="D65" s="25" t="str">
        <f t="shared" ref="D65:D69" si="21">IF($C65=CL,"X","")</f>
        <v>X</v>
      </c>
      <c r="E65" s="25">
        <f>IF(D65="X",100*0.15,"")</f>
        <v>15</v>
      </c>
      <c r="F65" s="25" t="str">
        <f t="shared" ref="F65:F69" si="22">IF($C65=L,"X","")</f>
        <v/>
      </c>
      <c r="G65" s="25" t="str">
        <f>IF(F65="X",60*0.15,"")</f>
        <v/>
      </c>
      <c r="H65" s="25" t="str">
        <f t="shared" ref="H65:H69" si="23">IF($C65=ML,"X","")</f>
        <v/>
      </c>
      <c r="I65" s="25" t="str">
        <f>IF(H65="X",30*0.15,"")</f>
        <v/>
      </c>
      <c r="J65" s="25" t="str">
        <f t="shared" ref="J65:J69" si="24">IF($C65=NL,"X","")</f>
        <v/>
      </c>
      <c r="K65" s="25" t="str">
        <f t="shared" ref="K65:K71" si="25">IF($J65="X",0,"")</f>
        <v/>
      </c>
    </row>
    <row r="66" spans="1:11" ht="24" hidden="1" customHeight="1" x14ac:dyDescent="0.3">
      <c r="A66" s="22"/>
      <c r="B66" s="23" t="str">
        <f>[1]RUBRICA!A5</f>
        <v xml:space="preserve">2. Presenta las evidencias del Proyecto APT, dando cuenta del cumplimiento de los objetivos y de acuerdo a los estándares de la disciplina. </v>
      </c>
      <c r="C66" s="24" t="s">
        <v>11</v>
      </c>
      <c r="D66" s="25" t="str">
        <f t="shared" si="21"/>
        <v>X</v>
      </c>
      <c r="E66" s="25">
        <f>IF(D66="X",100*0.25,"")</f>
        <v>25</v>
      </c>
      <c r="F66" s="25" t="str">
        <f t="shared" si="22"/>
        <v/>
      </c>
      <c r="G66" s="25" t="str">
        <f>IF(F66="X",60*0.25,"")</f>
        <v/>
      </c>
      <c r="H66" s="25" t="str">
        <f t="shared" si="23"/>
        <v/>
      </c>
      <c r="I66" s="25" t="str">
        <f>IF(H66="X",30*0.25,"")</f>
        <v/>
      </c>
      <c r="J66" s="25" t="str">
        <f t="shared" si="24"/>
        <v/>
      </c>
      <c r="K66" s="25" t="str">
        <f t="shared" si="25"/>
        <v/>
      </c>
    </row>
    <row r="67" spans="1:11" ht="24" hidden="1" customHeight="1" x14ac:dyDescent="0.3">
      <c r="A67" s="22"/>
      <c r="B67" s="23" t="str">
        <f>[1]RUBRICA!A6</f>
        <v>3. Responde las preguntas realizadas por la comisión, cumpliendo con los estándares de calidad de la disciplina.</v>
      </c>
      <c r="C67" s="24" t="s">
        <v>11</v>
      </c>
      <c r="D67" s="25" t="str">
        <f t="shared" si="21"/>
        <v>X</v>
      </c>
      <c r="E67" s="25">
        <f>IF(D67="X",100*0.2,"")</f>
        <v>20</v>
      </c>
      <c r="F67" s="25" t="str">
        <f t="shared" si="22"/>
        <v/>
      </c>
      <c r="G67" s="25" t="str">
        <f>IF(F67="X",60*0.2,"")</f>
        <v/>
      </c>
      <c r="H67" s="25" t="str">
        <f t="shared" si="23"/>
        <v/>
      </c>
      <c r="I67" s="25" t="str">
        <f>IF(H67="X",30*0.2,"")</f>
        <v/>
      </c>
      <c r="J67" s="25" t="str">
        <f t="shared" si="24"/>
        <v/>
      </c>
      <c r="K67" s="25" t="str">
        <f t="shared" si="25"/>
        <v/>
      </c>
    </row>
    <row r="68" spans="1:11" ht="24" hidden="1" customHeight="1" x14ac:dyDescent="0.3">
      <c r="A68" s="22"/>
      <c r="B68" s="23" t="str">
        <f>[1]RUBRICA!A7</f>
        <v>4. Expone el Proyecto APT, considerando el formato y el tiempo establecido para la presentación.</v>
      </c>
      <c r="C68" s="24" t="s">
        <v>11</v>
      </c>
      <c r="D68" s="25" t="str">
        <f t="shared" si="21"/>
        <v>X</v>
      </c>
      <c r="E68" s="25">
        <f>IF(D68="X",100*0.05,"")</f>
        <v>5</v>
      </c>
      <c r="F68" s="25" t="str">
        <f t="shared" si="22"/>
        <v/>
      </c>
      <c r="G68" s="25" t="str">
        <f>IF(F68="X",60*0.05,"")</f>
        <v/>
      </c>
      <c r="H68" s="25" t="str">
        <f t="shared" si="23"/>
        <v/>
      </c>
      <c r="I68" s="25" t="str">
        <f>IF(H68="X",30*0.05,"")</f>
        <v/>
      </c>
      <c r="J68" s="25" t="str">
        <f t="shared" si="24"/>
        <v/>
      </c>
      <c r="K68" s="25" t="str">
        <f t="shared" si="25"/>
        <v/>
      </c>
    </row>
    <row r="69" spans="1:11" ht="24" hidden="1" customHeight="1" x14ac:dyDescent="0.3">
      <c r="A69" s="22"/>
      <c r="B69" s="23" t="str">
        <f>[1]RUBRICA!A8</f>
        <v>5. Expresa sus ideas con fluidez, claridad y precisión, utilizando lenguaje técnico propio de la disciplina.</v>
      </c>
      <c r="C69" s="24" t="s">
        <v>11</v>
      </c>
      <c r="D69" s="25" t="str">
        <f t="shared" si="21"/>
        <v>X</v>
      </c>
      <c r="E69" s="25">
        <f>IF(D69="X",100*0.05,"")</f>
        <v>5</v>
      </c>
      <c r="F69" s="25" t="str">
        <f t="shared" si="22"/>
        <v/>
      </c>
      <c r="G69" s="25" t="str">
        <f>IF(F69="X",60*0.05,"")</f>
        <v/>
      </c>
      <c r="H69" s="25" t="str">
        <f t="shared" si="23"/>
        <v/>
      </c>
      <c r="I69" s="25" t="str">
        <f>IF(H69="X",30*0.05,"")</f>
        <v/>
      </c>
      <c r="J69" s="25" t="str">
        <f t="shared" si="24"/>
        <v/>
      </c>
      <c r="K69" s="25" t="str">
        <f t="shared" si="25"/>
        <v/>
      </c>
    </row>
    <row r="70" spans="1:11" ht="24" hidden="1" customHeight="1" x14ac:dyDescent="0.3">
      <c r="A70" s="22"/>
      <c r="B70" s="23" t="str">
        <f>[1]RUBRICA!A9</f>
        <v>6. Entrega la documentación y evidencias requerida por la asignatura de acuerdo a la estructura y nombres solicitados, guardando todas las evidencias de avances en Git</v>
      </c>
      <c r="C70" s="24" t="s">
        <v>11</v>
      </c>
      <c r="D70" s="25" t="str">
        <f>IF($C70=CL,"X","")</f>
        <v>X</v>
      </c>
      <c r="E70" s="25">
        <f>IF(D70="X",100*0.2,"")</f>
        <v>20</v>
      </c>
      <c r="F70" s="25" t="str">
        <f>IF($C70=L,"X","")</f>
        <v/>
      </c>
      <c r="G70" s="25" t="str">
        <f>IF(F70="X",60*0.2,"")</f>
        <v/>
      </c>
      <c r="H70" s="25" t="str">
        <f>IF($C70=ML,"X","")</f>
        <v/>
      </c>
      <c r="I70" s="25" t="str">
        <f>IF(H70="X",30*0.2,"")</f>
        <v/>
      </c>
      <c r="J70" s="25" t="str">
        <f>IF($C70=NL,"X","")</f>
        <v/>
      </c>
      <c r="K70" s="25" t="str">
        <f t="shared" si="25"/>
        <v/>
      </c>
    </row>
    <row r="71" spans="1:11" ht="24" hidden="1" customHeight="1" x14ac:dyDescent="0.3">
      <c r="A71" s="22"/>
      <c r="B71" s="23" t="str">
        <f>[1]RUBRICA!A10</f>
        <v xml:space="preserve">7. Expone el tema utilizando un lenguaje técnico disciplinar al presentar la propuesta y responde evidenciando un manejo de la información. </v>
      </c>
      <c r="C71" s="24" t="s">
        <v>11</v>
      </c>
      <c r="D71" s="25" t="str">
        <f>IF($C71=CL,"X","")</f>
        <v>X</v>
      </c>
      <c r="E71" s="25">
        <f>IF(D71="X",100*0.1,"")</f>
        <v>10</v>
      </c>
      <c r="F71" s="25" t="str">
        <f>IF($C71=L,"X","")</f>
        <v/>
      </c>
      <c r="G71" s="25" t="str">
        <f>IF(F71="X",60*0.1,"")</f>
        <v/>
      </c>
      <c r="H71" s="25" t="str">
        <f>IF($C71=ML,"X","")</f>
        <v/>
      </c>
      <c r="I71" s="25" t="str">
        <f>IF(H71="X",30*0.1,"")</f>
        <v/>
      </c>
      <c r="J71" s="25" t="str">
        <f>IF($C71=NL,"X","")</f>
        <v/>
      </c>
      <c r="K71" s="25" t="str">
        <f t="shared" si="25"/>
        <v/>
      </c>
    </row>
    <row r="72" spans="1:11" ht="24" hidden="1" customHeight="1" x14ac:dyDescent="0.35">
      <c r="A72" s="19"/>
      <c r="B72" s="26" t="s">
        <v>16</v>
      </c>
      <c r="C72" s="27">
        <f>E72+G72+I72+K72</f>
        <v>100</v>
      </c>
      <c r="D72" s="28"/>
      <c r="E72" s="28">
        <f>SUM(E65:E71)</f>
        <v>100</v>
      </c>
      <c r="F72" s="28"/>
      <c r="G72" s="28">
        <f>SUM(G65:G71)</f>
        <v>0</v>
      </c>
      <c r="H72" s="28"/>
      <c r="I72" s="28">
        <f>SUM(I65:I71)</f>
        <v>0</v>
      </c>
      <c r="J72" s="28"/>
      <c r="K72" s="28">
        <f>SUM(K65:K71)</f>
        <v>0</v>
      </c>
    </row>
    <row r="73" spans="1:11" ht="24" hidden="1" customHeight="1" x14ac:dyDescent="0.35">
      <c r="A73" s="21"/>
      <c r="B73" s="29" t="s">
        <v>17</v>
      </c>
      <c r="C73" s="30">
        <f>VLOOKUP(C72,[1]ESCALA_IEP!A54:B254,2,FALSE)</f>
        <v>7</v>
      </c>
    </row>
    <row r="74" spans="1:11" ht="15.75" hidden="1" customHeight="1" x14ac:dyDescent="0.3"/>
    <row r="75" spans="1:11" ht="15.75" hidden="1" customHeight="1" x14ac:dyDescent="0.3"/>
    <row r="76" spans="1:11" ht="24" hidden="1" customHeight="1" x14ac:dyDescent="0.3">
      <c r="A76" s="13" t="s">
        <v>20</v>
      </c>
      <c r="B76" s="14" t="str">
        <f>B6</f>
        <v>CAAMANO BARRERA ESTEBAN ALEJANDRO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spans="1:11" ht="24" hidden="1" customHeight="1" x14ac:dyDescent="0.3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spans="1:11" ht="24" hidden="1" customHeight="1" x14ac:dyDescent="0.3">
      <c r="A78" s="22"/>
      <c r="B78" s="23" t="str">
        <f>[1]RUBRICA!A4</f>
        <v xml:space="preserve">1. Presenta el proyecto considerando la relevancia, objetivos, metodología y desarrollo, de acuerdo a los estándares de calidad de la disciplina. </v>
      </c>
      <c r="C78" s="24" t="s">
        <v>11</v>
      </c>
      <c r="D78" s="25" t="str">
        <f t="shared" ref="D78:D82" si="26">IF($C78=CL,"X","")</f>
        <v>X</v>
      </c>
      <c r="E78" s="25">
        <f>IF(D78="X",100*0.15,"")</f>
        <v>15</v>
      </c>
      <c r="F78" s="25" t="str">
        <f t="shared" ref="F78:F82" si="27">IF($C78=L,"X","")</f>
        <v/>
      </c>
      <c r="G78" s="25" t="str">
        <f>IF(F78="X",60*0.15,"")</f>
        <v/>
      </c>
      <c r="H78" s="25" t="str">
        <f t="shared" ref="H78:H82" si="28">IF($C78=ML,"X","")</f>
        <v/>
      </c>
      <c r="I78" s="25" t="str">
        <f>IF(H78="X",30*0.15,"")</f>
        <v/>
      </c>
      <c r="J78" s="25" t="str">
        <f t="shared" ref="J78:J82" si="29">IF($C78=NL,"X","")</f>
        <v/>
      </c>
      <c r="K78" s="25" t="str">
        <f t="shared" ref="K78:K84" si="30">IF($J78="X",0,"")</f>
        <v/>
      </c>
    </row>
    <row r="79" spans="1:11" ht="24" hidden="1" customHeight="1" x14ac:dyDescent="0.3">
      <c r="A79" s="22"/>
      <c r="B79" s="23" t="str">
        <f>[1]RUBRICA!A5</f>
        <v xml:space="preserve">2. Presenta las evidencias del Proyecto APT, dando cuenta del cumplimiento de los objetivos y de acuerdo a los estándares de la disciplina. </v>
      </c>
      <c r="C79" s="24" t="s">
        <v>11</v>
      </c>
      <c r="D79" s="25" t="str">
        <f t="shared" si="26"/>
        <v>X</v>
      </c>
      <c r="E79" s="25">
        <f>IF(D79="X",100*0.25,"")</f>
        <v>25</v>
      </c>
      <c r="F79" s="25" t="str">
        <f t="shared" si="27"/>
        <v/>
      </c>
      <c r="G79" s="25" t="str">
        <f>IF(F79="X",60*0.25,"")</f>
        <v/>
      </c>
      <c r="H79" s="25" t="str">
        <f t="shared" si="28"/>
        <v/>
      </c>
      <c r="I79" s="25" t="str">
        <f>IF(H79="X",30*0.25,"")</f>
        <v/>
      </c>
      <c r="J79" s="25" t="str">
        <f t="shared" si="29"/>
        <v/>
      </c>
      <c r="K79" s="25" t="str">
        <f t="shared" si="30"/>
        <v/>
      </c>
    </row>
    <row r="80" spans="1:11" ht="24" hidden="1" customHeight="1" x14ac:dyDescent="0.3">
      <c r="A80" s="22"/>
      <c r="B80" s="23" t="str">
        <f>[1]RUBRICA!A6</f>
        <v>3. Responde las preguntas realizadas por la comisión, cumpliendo con los estándares de calidad de la disciplina.</v>
      </c>
      <c r="C80" s="24" t="s">
        <v>11</v>
      </c>
      <c r="D80" s="25" t="str">
        <f t="shared" si="26"/>
        <v>X</v>
      </c>
      <c r="E80" s="25">
        <f>IF(D80="X",100*0.2,"")</f>
        <v>20</v>
      </c>
      <c r="F80" s="25" t="str">
        <f t="shared" si="27"/>
        <v/>
      </c>
      <c r="G80" s="25" t="str">
        <f>IF(F80="X",60*0.2,"")</f>
        <v/>
      </c>
      <c r="H80" s="25" t="str">
        <f t="shared" si="28"/>
        <v/>
      </c>
      <c r="I80" s="25" t="str">
        <f>IF(H80="X",30*0.2,"")</f>
        <v/>
      </c>
      <c r="J80" s="25" t="str">
        <f t="shared" si="29"/>
        <v/>
      </c>
      <c r="K80" s="25" t="str">
        <f t="shared" si="30"/>
        <v/>
      </c>
    </row>
    <row r="81" spans="1:11" ht="24" hidden="1" customHeight="1" x14ac:dyDescent="0.3">
      <c r="A81" s="22"/>
      <c r="B81" s="23" t="str">
        <f>[1]RUBRICA!A7</f>
        <v>4. Expone el Proyecto APT, considerando el formato y el tiempo establecido para la presentación.</v>
      </c>
      <c r="C81" s="24" t="s">
        <v>11</v>
      </c>
      <c r="D81" s="25" t="str">
        <f t="shared" si="26"/>
        <v>X</v>
      </c>
      <c r="E81" s="25">
        <f>IF(D81="X",100*0.05,"")</f>
        <v>5</v>
      </c>
      <c r="F81" s="25" t="str">
        <f t="shared" si="27"/>
        <v/>
      </c>
      <c r="G81" s="25" t="str">
        <f>IF(F81="X",60*0.05,"")</f>
        <v/>
      </c>
      <c r="H81" s="25" t="str">
        <f t="shared" si="28"/>
        <v/>
      </c>
      <c r="I81" s="25" t="str">
        <f>IF(H81="X",30*0.05,"")</f>
        <v/>
      </c>
      <c r="J81" s="25" t="str">
        <f t="shared" si="29"/>
        <v/>
      </c>
      <c r="K81" s="25" t="str">
        <f t="shared" si="30"/>
        <v/>
      </c>
    </row>
    <row r="82" spans="1:11" ht="24" hidden="1" customHeight="1" x14ac:dyDescent="0.3">
      <c r="A82" s="22"/>
      <c r="B82" s="23" t="str">
        <f>[1]RUBRICA!A8</f>
        <v>5. Expresa sus ideas con fluidez, claridad y precisión, utilizando lenguaje técnico propio de la disciplina.</v>
      </c>
      <c r="C82" s="24" t="s">
        <v>11</v>
      </c>
      <c r="D82" s="25" t="str">
        <f t="shared" si="26"/>
        <v>X</v>
      </c>
      <c r="E82" s="25">
        <f>IF(D82="X",100*0.05,"")</f>
        <v>5</v>
      </c>
      <c r="F82" s="25" t="str">
        <f t="shared" si="27"/>
        <v/>
      </c>
      <c r="G82" s="25" t="str">
        <f>IF(F82="X",60*0.05,"")</f>
        <v/>
      </c>
      <c r="H82" s="25" t="str">
        <f t="shared" si="28"/>
        <v/>
      </c>
      <c r="I82" s="25" t="str">
        <f>IF(H82="X",30*0.05,"")</f>
        <v/>
      </c>
      <c r="J82" s="25" t="str">
        <f t="shared" si="29"/>
        <v/>
      </c>
      <c r="K82" s="25" t="str">
        <f t="shared" si="30"/>
        <v/>
      </c>
    </row>
    <row r="83" spans="1:11" ht="24" hidden="1" customHeight="1" x14ac:dyDescent="0.3">
      <c r="A83" s="22"/>
      <c r="B83" s="23" t="str">
        <f>[1]RUBRICA!A9</f>
        <v>6. Entrega la documentación y evidencias requerida por la asignatura de acuerdo a la estructura y nombres solicitados, guardando todas las evidencias de avances en Git</v>
      </c>
      <c r="C83" s="24" t="s">
        <v>11</v>
      </c>
      <c r="D83" s="25" t="str">
        <f>IF($C83=CL,"X","")</f>
        <v>X</v>
      </c>
      <c r="E83" s="25">
        <f>IF(D83="X",100*0.2,"")</f>
        <v>20</v>
      </c>
      <c r="F83" s="25" t="str">
        <f>IF($C83=L,"X","")</f>
        <v/>
      </c>
      <c r="G83" s="25" t="str">
        <f>IF(F83="X",60*0.2,"")</f>
        <v/>
      </c>
      <c r="H83" s="25" t="str">
        <f>IF($C83=ML,"X","")</f>
        <v/>
      </c>
      <c r="I83" s="25" t="str">
        <f>IF(H83="X",30*0.2,"")</f>
        <v/>
      </c>
      <c r="J83" s="25" t="str">
        <f>IF($C83=NL,"X","")</f>
        <v/>
      </c>
      <c r="K83" s="25" t="str">
        <f t="shared" si="30"/>
        <v/>
      </c>
    </row>
    <row r="84" spans="1:11" ht="24" hidden="1" customHeight="1" x14ac:dyDescent="0.3">
      <c r="A84" s="22"/>
      <c r="B84" s="23" t="str">
        <f>[1]RUBRICA!A10</f>
        <v xml:space="preserve">7. Expone el tema utilizando un lenguaje técnico disciplinar al presentar la propuesta y responde evidenciando un manejo de la información. </v>
      </c>
      <c r="C84" s="24" t="s">
        <v>11</v>
      </c>
      <c r="D84" s="25" t="str">
        <f>IF($C84=CL,"X","")</f>
        <v>X</v>
      </c>
      <c r="E84" s="25">
        <f>IF(D84="X",100*0.1,"")</f>
        <v>10</v>
      </c>
      <c r="F84" s="25" t="str">
        <f>IF($C84=L,"X","")</f>
        <v/>
      </c>
      <c r="G84" s="25" t="str">
        <f>IF(F84="X",60*0.1,"")</f>
        <v/>
      </c>
      <c r="H84" s="25" t="str">
        <f>IF($C84=ML,"X","")</f>
        <v/>
      </c>
      <c r="I84" s="25" t="str">
        <f>IF(H84="X",30*0.1,"")</f>
        <v/>
      </c>
      <c r="J84" s="25" t="str">
        <f>IF($C84=NL,"X","")</f>
        <v/>
      </c>
      <c r="K84" s="25" t="str">
        <f t="shared" si="30"/>
        <v/>
      </c>
    </row>
    <row r="85" spans="1:11" ht="24" hidden="1" customHeight="1" x14ac:dyDescent="0.35">
      <c r="A85" s="19"/>
      <c r="B85" s="26" t="s">
        <v>16</v>
      </c>
      <c r="C85" s="27">
        <f>E85+G85+I85+K85</f>
        <v>100</v>
      </c>
      <c r="D85" s="28"/>
      <c r="E85" s="28">
        <f>SUM(E78:E84)</f>
        <v>100</v>
      </c>
      <c r="F85" s="28"/>
      <c r="G85" s="28">
        <f>SUM(G78:G84)</f>
        <v>0</v>
      </c>
      <c r="H85" s="28"/>
      <c r="I85" s="28">
        <f>SUM(I78:I84)</f>
        <v>0</v>
      </c>
      <c r="J85" s="28"/>
      <c r="K85" s="28">
        <f>SUM(K78:K84)</f>
        <v>0</v>
      </c>
    </row>
    <row r="86" spans="1:11" ht="24" hidden="1" customHeight="1" x14ac:dyDescent="0.35">
      <c r="A86" s="21"/>
      <c r="B86" s="29" t="s">
        <v>17</v>
      </c>
      <c r="C86" s="30">
        <f>VLOOKUP(C85,[1]ESCALA_IEP!A67:B267,2,FALSE)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A50:A60"/>
    <mergeCell ref="C50:C51"/>
    <mergeCell ref="D50:K50"/>
    <mergeCell ref="D51:E51"/>
    <mergeCell ref="F51:G51"/>
    <mergeCell ref="H51:I51"/>
    <mergeCell ref="J51:K51"/>
    <mergeCell ref="A37:A47"/>
    <mergeCell ref="C37:C38"/>
    <mergeCell ref="D37:K37"/>
    <mergeCell ref="D38:E38"/>
    <mergeCell ref="F38:G38"/>
    <mergeCell ref="H38:I38"/>
    <mergeCell ref="J38:K38"/>
    <mergeCell ref="A24:A34"/>
    <mergeCell ref="C24:C25"/>
    <mergeCell ref="D24:K24"/>
    <mergeCell ref="D25:E25"/>
    <mergeCell ref="F25:G25"/>
    <mergeCell ref="H25:I25"/>
    <mergeCell ref="J25:K25"/>
    <mergeCell ref="A11:A21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BA832761-E9A7-4987-8A0F-65C7274BF586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FASE 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2025-12-19T18:39:36Z</dcterms:created>
  <dcterms:modified xsi:type="dcterms:W3CDTF">2025-12-19T18:39:52Z</dcterms:modified>
</cp:coreProperties>
</file>